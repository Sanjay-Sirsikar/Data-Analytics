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B3530E41-D499-400B-8EFA-4D76FF18C500}" xr6:coauthVersionLast="47" xr6:coauthVersionMax="47" xr10:uidLastSave="{00000000-0000-0000-0000-000000000000}"/>
  <bookViews>
    <workbookView xWindow="-120" yWindow="-120" windowWidth="29040" windowHeight="15720" activeTab="9" xr2:uid="{FC16F1F9-51EA-4971-8453-8D2010AD72C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0" l="1"/>
  <c r="D7" i="10"/>
  <c r="D6" i="10"/>
  <c r="D5" i="10"/>
  <c r="C5" i="9"/>
  <c r="C6" i="9"/>
  <c r="C7" i="9"/>
  <c r="C4" i="9"/>
  <c r="C5" i="8"/>
  <c r="C6" i="8"/>
  <c r="C7" i="8"/>
  <c r="C4" i="8"/>
  <c r="D7" i="7"/>
  <c r="D8" i="7"/>
  <c r="D9" i="7"/>
  <c r="D6" i="7"/>
  <c r="D8" i="6"/>
  <c r="D9" i="6"/>
  <c r="D10" i="6"/>
  <c r="D7" i="6"/>
  <c r="D4" i="5"/>
  <c r="D5" i="5"/>
  <c r="D6" i="5"/>
  <c r="D3" i="5"/>
  <c r="D5" i="4"/>
  <c r="D6" i="4"/>
  <c r="D7" i="4"/>
  <c r="D4" i="4"/>
  <c r="C6" i="3"/>
  <c r="C7" i="3"/>
  <c r="C8" i="3"/>
  <c r="C9" i="3"/>
  <c r="C5" i="3"/>
  <c r="C7" i="2"/>
  <c r="C8" i="2"/>
  <c r="C9" i="2"/>
  <c r="C6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<sst xmlns="http://schemas.openxmlformats.org/spreadsheetml/2006/main" count="82" uniqueCount="45">
  <si>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</si>
  <si>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</si>
  <si>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</si>
  <si>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</si>
  <si>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</si>
  <si>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</si>
  <si>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</si>
  <si>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</si>
  <si>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</si>
  <si>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</si>
  <si>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</si>
  <si>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</si>
  <si>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</si>
  <si>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</si>
  <si>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</si>
  <si>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</si>
  <si>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</si>
  <si>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</si>
  <si>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</si>
  <si>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</si>
  <si>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</si>
  <si>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</si>
  <si>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</si>
  <si>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</si>
  <si>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</si>
  <si>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</si>
  <si>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</si>
  <si>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</si>
  <si>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</si>
  <si>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</si>
  <si>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</si>
  <si>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</si>
  <si>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</si>
  <si>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</si>
  <si>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</si>
  <si>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</si>
  <si>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</si>
  <si>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</si>
  <si>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</si>
  <si>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</si>
  <si>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</si>
  <si>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</si>
  <si>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</si>
  <si>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</si>
  <si>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Kavita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</si>
</sst>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10</xdr:row>
      <xdr:rowOff>0</xdr:rowOff>
    </xdr:from>
    <xdr:to>
      <xdr:col>25</xdr:col>
      <xdr:colOff>10292</xdr:colOff>
      <xdr:row>34</xdr:row>
      <xdr:rowOff>38743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3A182-3B2D-78DE-90C9-C5A632EB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905000"/>
          <a:ext cx="5496692" cy="46107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590550</xdr:colOff>
      <xdr:row>5</xdr:row>
      <xdr:rowOff>0</xdr:rowOff>
    </xdr:from>
    <xdr:to>
      <xdr:col>21</xdr:col>
      <xdr:colOff>114999</xdr:colOff>
      <xdr:row>26</xdr:row>
      <xdr:rowOff>10085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D94A7-61B7-32E5-14CD-2AFB5A84A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0" y="952500"/>
          <a:ext cx="5010849" cy="4010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</xdr:row>
      <xdr:rowOff>0</xdr:rowOff>
    </xdr:from>
    <xdr:to>
      <xdr:col>20</xdr:col>
      <xdr:colOff>581702</xdr:colOff>
      <xdr:row>30</xdr:row>
      <xdr:rowOff>181692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66EB7-490E-EF2B-0DD8-4A4B35BFF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62000"/>
          <a:ext cx="4848902" cy="51346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20</xdr:col>
      <xdr:colOff>496050</xdr:colOff>
      <xdr:row>24</xdr:row>
      <xdr:rowOff>86269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E6BB-F55E-453F-5B58-7184E4F6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62000"/>
          <a:ext cx="5372850" cy="38962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22</xdr:col>
      <xdr:colOff>134134</xdr:colOff>
      <xdr:row>23</xdr:row>
      <xdr:rowOff>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343BA-10C6-D4A3-4B8D-DB54D508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571500"/>
          <a:ext cx="5620534" cy="38105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20</xdr:col>
      <xdr:colOff>543681</xdr:colOff>
      <xdr:row>24</xdr:row>
      <xdr:rowOff>152926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99FBE-CDF7-3892-4FAB-9EC8B69C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952500"/>
          <a:ext cx="5420481" cy="37724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21</xdr:col>
      <xdr:colOff>76976</xdr:colOff>
      <xdr:row>24</xdr:row>
      <xdr:rowOff>29111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FDE05-FB60-C06B-48C4-05EC385D6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62000"/>
          <a:ext cx="5563376" cy="38391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20</xdr:col>
      <xdr:colOff>38786</xdr:colOff>
      <xdr:row>24</xdr:row>
      <xdr:rowOff>162506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290CA-A85A-7C82-2B71-6863C89DE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71500"/>
          <a:ext cx="4915586" cy="41630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515017</xdr:colOff>
      <xdr:row>24</xdr:row>
      <xdr:rowOff>19611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E053C-2F30-0F76-4A07-72CC9BFE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571500"/>
          <a:ext cx="4782217" cy="40201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22</xdr:col>
      <xdr:colOff>410483</xdr:colOff>
      <xdr:row>25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10C4F-87FB-DABB-495E-1FE30187D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571500"/>
          <a:ext cx="6506483" cy="4267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B2D2-C2BC-423A-B7DE-06159C79EA80}">
  <dimension ref="A2:D7"/>
  <sheetViews>
    <sheetView workbookViewId="0">
      <selection activeCell="D7" sqref="D3:D7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28515625" bestFit="1" customWidth="1"/>
    <col min="4" max="4" width="6.5703125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1</v>
      </c>
      <c r="B3" t="s">
        <v>4</v>
      </c>
      <c r="C3">
        <v>78</v>
      </c>
      <c r="D3" t="str">
        <f>+IF(C3&gt;=40,"Pass","Fail")</f>
        <v>Pass</v>
      </c>
    </row>
    <row r="4" spans="1:4" x14ac:dyDescent="0.25">
      <c r="A4">
        <v>2</v>
      </c>
      <c r="B4" t="s">
        <v>5</v>
      </c>
      <c r="C4">
        <v>35</v>
      </c>
      <c r="D4" t="str">
        <f t="shared" ref="D4:D7" si="0">+IF(C4&gt;=40,"Pass","Fail")</f>
        <v>Fail</v>
      </c>
    </row>
    <row r="5" spans="1:4" x14ac:dyDescent="0.25">
      <c r="A5">
        <v>3</v>
      </c>
      <c r="B5" t="s">
        <v>6</v>
      </c>
      <c r="C5">
        <v>62</v>
      </c>
      <c r="D5" t="str">
        <f t="shared" si="0"/>
        <v>Pass</v>
      </c>
    </row>
    <row r="6" spans="1:4" x14ac:dyDescent="0.25">
      <c r="A6">
        <v>4</v>
      </c>
      <c r="B6" t="s">
        <v>7</v>
      </c>
      <c r="C6">
        <v>40</v>
      </c>
      <c r="D6" t="str">
        <f t="shared" si="0"/>
        <v>Pass</v>
      </c>
    </row>
    <row r="7" spans="1:4" x14ac:dyDescent="0.25">
      <c r="A7">
        <v>5</v>
      </c>
      <c r="B7" t="s">
        <v>8</v>
      </c>
      <c r="C7">
        <v>28</v>
      </c>
      <c r="D7" t="str">
        <f t="shared" si="0"/>
        <v>Fail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67DE-7ED3-448C-A308-5805FF33F79E}">
  <dimension ref="A5:C9"/>
  <sheetViews>
    <sheetView workbookViewId="0">
      <selection activeCell="C9" sqref="C6:C9"/>
    </sheetView>
  </sheetViews>
  <sheetFormatPr defaultRowHeight="15" x14ac:dyDescent="0.25"/>
  <cols>
    <col min="1" max="1" width="15.7109375" bestFit="1" customWidth="1"/>
    <col min="2" max="2" width="6.28515625" bestFit="1" customWidth="1"/>
    <col min="3" max="3" width="12.28515625" bestFit="1" customWidth="1"/>
  </cols>
  <sheetData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>
        <v>28000</v>
      </c>
      <c r="C6" t="str">
        <f>+IF(B6&gt;=40000,"Bonus","No Bonus")</f>
        <v>No Bonus</v>
      </c>
    </row>
    <row r="7" spans="1:3" x14ac:dyDescent="0.25">
      <c r="A7" t="s">
        <v>13</v>
      </c>
      <c r="B7">
        <v>45000</v>
      </c>
      <c r="C7" t="str">
        <f t="shared" ref="C7:C9" si="0">+IF(B7&gt;=40000,"Bonus","No Bonus")</f>
        <v>Bonus</v>
      </c>
    </row>
    <row r="8" spans="1:3" x14ac:dyDescent="0.25">
      <c r="A8" t="s">
        <v>14</v>
      </c>
      <c r="B8">
        <v>52000</v>
      </c>
      <c r="C8" t="str">
        <f t="shared" si="0"/>
        <v>Bonus</v>
      </c>
    </row>
    <row r="9" spans="1:3" x14ac:dyDescent="0.25">
      <c r="A9" t="s">
        <v>15</v>
      </c>
      <c r="B9">
        <v>30000</v>
      </c>
      <c r="C9" t="str">
        <f t="shared" si="0"/>
        <v>No Bonus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5C1B-469E-4210-8C56-D233431F8872}">
  <dimension ref="A4:C9"/>
  <sheetViews>
    <sheetView workbookViewId="0">
      <selection activeCell="C9" sqref="C5:C9"/>
    </sheetView>
  </sheetViews>
  <sheetFormatPr defaultRowHeight="15" x14ac:dyDescent="0.25"/>
  <cols>
    <col min="1" max="1" width="13.85546875" bestFit="1" customWidth="1"/>
    <col min="2" max="3" width="6.28515625" bestFit="1" customWidth="1"/>
  </cols>
  <sheetData>
    <row r="4" spans="1:3" x14ac:dyDescent="0.25">
      <c r="A4" t="s">
        <v>1</v>
      </c>
      <c r="B4" t="s">
        <v>2</v>
      </c>
      <c r="C4" t="s">
        <v>16</v>
      </c>
    </row>
    <row r="5" spans="1:3" x14ac:dyDescent="0.25">
      <c r="A5" t="s">
        <v>4</v>
      </c>
      <c r="B5">
        <v>82</v>
      </c>
      <c r="C5" t="str">
        <f>+IF(B5&gt;=75,"A",IF(B5&gt;=60,"B",IF(B5&gt;=40,"C","Fail")))</f>
        <v>A</v>
      </c>
    </row>
    <row r="6" spans="1:3" x14ac:dyDescent="0.25">
      <c r="A6" t="s">
        <v>5</v>
      </c>
      <c r="B6">
        <v>67</v>
      </c>
      <c r="C6" t="str">
        <f t="shared" ref="C6:C9" si="0">+IF(B6&gt;=75,"A",IF(B6&gt;=60,"B",IF(B6&gt;=40,"C","Fail")))</f>
        <v>B</v>
      </c>
    </row>
    <row r="7" spans="1:3" x14ac:dyDescent="0.25">
      <c r="A7" t="s">
        <v>6</v>
      </c>
      <c r="B7">
        <v>45</v>
      </c>
      <c r="C7" t="str">
        <f t="shared" si="0"/>
        <v>C</v>
      </c>
    </row>
    <row r="8" spans="1:3" x14ac:dyDescent="0.25">
      <c r="A8" t="s">
        <v>7</v>
      </c>
      <c r="B8">
        <v>33</v>
      </c>
      <c r="C8" t="str">
        <f t="shared" si="0"/>
        <v>Fail</v>
      </c>
    </row>
    <row r="9" spans="1:3" x14ac:dyDescent="0.25">
      <c r="A9" t="s">
        <v>8</v>
      </c>
      <c r="B9">
        <v>90</v>
      </c>
      <c r="C9" t="str">
        <f t="shared" si="0"/>
        <v>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DBDA-0447-408B-9127-72DE8121F640}">
  <dimension ref="A3:D7"/>
  <sheetViews>
    <sheetView workbookViewId="0">
      <selection activeCell="D4" sqref="D4"/>
    </sheetView>
  </sheetViews>
  <sheetFormatPr defaultRowHeight="15" x14ac:dyDescent="0.25"/>
  <cols>
    <col min="1" max="1" width="7.140625" bestFit="1" customWidth="1"/>
    <col min="2" max="2" width="4.42578125" bestFit="1" customWidth="1"/>
    <col min="3" max="3" width="17.7109375" bestFit="1" customWidth="1"/>
    <col min="4" max="4" width="8.85546875" bestFit="1" customWidth="1"/>
  </cols>
  <sheetData>
    <row r="3" spans="1:4" x14ac:dyDescent="0.25">
      <c r="A3" t="s">
        <v>17</v>
      </c>
      <c r="B3" t="s">
        <v>18</v>
      </c>
      <c r="C3" t="s">
        <v>19</v>
      </c>
      <c r="D3" t="s">
        <v>20</v>
      </c>
    </row>
    <row r="4" spans="1:4" x14ac:dyDescent="0.25">
      <c r="A4" t="s">
        <v>12</v>
      </c>
      <c r="B4">
        <v>25</v>
      </c>
      <c r="C4">
        <v>2</v>
      </c>
      <c r="D4" t="str">
        <f>+IF(AND(B4&gt;=21,C4&gt;=1),"Eligible","Declined")</f>
        <v>Eligible</v>
      </c>
    </row>
    <row r="5" spans="1:4" x14ac:dyDescent="0.25">
      <c r="A5" t="s">
        <v>13</v>
      </c>
      <c r="B5">
        <v>20</v>
      </c>
      <c r="C5">
        <v>1</v>
      </c>
      <c r="D5" t="str">
        <f t="shared" ref="D5:D7" si="0">+IF(AND(B5&gt;=21,C5&gt;=1),"Eligible","Declined")</f>
        <v>Declined</v>
      </c>
    </row>
    <row r="6" spans="1:4" x14ac:dyDescent="0.25">
      <c r="A6" t="s">
        <v>14</v>
      </c>
      <c r="B6">
        <v>30</v>
      </c>
      <c r="C6">
        <v>5</v>
      </c>
      <c r="D6" t="str">
        <f t="shared" si="0"/>
        <v>Eligible</v>
      </c>
    </row>
    <row r="7" spans="1:4" x14ac:dyDescent="0.25">
      <c r="A7" t="s">
        <v>15</v>
      </c>
      <c r="B7">
        <v>22</v>
      </c>
      <c r="C7">
        <v>0</v>
      </c>
      <c r="D7" t="str">
        <f t="shared" si="0"/>
        <v>Declined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21A5-4B5B-46EB-8165-3BF2CE243A82}">
  <dimension ref="A2:D6"/>
  <sheetViews>
    <sheetView workbookViewId="0">
      <selection activeCell="D6" sqref="D3:D6"/>
    </sheetView>
  </sheetViews>
  <sheetFormatPr defaultRowHeight="15" x14ac:dyDescent="0.25"/>
  <cols>
    <col min="1" max="1" width="13.85546875" bestFit="1" customWidth="1"/>
    <col min="2" max="2" width="13.42578125" bestFit="1" customWidth="1"/>
    <col min="3" max="3" width="21.5703125" bestFit="1" customWidth="1"/>
    <col min="4" max="4" width="8.42578125" bestFit="1" customWidth="1"/>
  </cols>
  <sheetData>
    <row r="2" spans="1:4" x14ac:dyDescent="0.25">
      <c r="A2" t="s">
        <v>1</v>
      </c>
      <c r="B2" t="s">
        <v>21</v>
      </c>
      <c r="C2" t="s">
        <v>22</v>
      </c>
      <c r="D2" t="s">
        <v>20</v>
      </c>
    </row>
    <row r="3" spans="1:4" x14ac:dyDescent="0.25">
      <c r="A3" t="s">
        <v>4</v>
      </c>
      <c r="B3">
        <v>85</v>
      </c>
      <c r="C3" t="s">
        <v>23</v>
      </c>
      <c r="D3" t="str">
        <f>+IF(AND(B3&gt;=75,C3="Yes"),"Eligible","Tata Bye Bye")</f>
        <v>Eligible</v>
      </c>
    </row>
    <row r="4" spans="1:4" x14ac:dyDescent="0.25">
      <c r="A4" t="s">
        <v>5</v>
      </c>
      <c r="B4">
        <v>72</v>
      </c>
      <c r="C4" t="s">
        <v>23</v>
      </c>
      <c r="D4" t="str">
        <f t="shared" ref="D4:D6" si="0">+IF(AND(B4&gt;=75,C4="Yes"),"Eligible","Tata Bye Bye")</f>
        <v>Tata Bye Bye</v>
      </c>
    </row>
    <row r="5" spans="1:4" x14ac:dyDescent="0.25">
      <c r="A5" t="s">
        <v>6</v>
      </c>
      <c r="B5">
        <v>90</v>
      </c>
      <c r="C5" t="s">
        <v>24</v>
      </c>
      <c r="D5" t="str">
        <f t="shared" si="0"/>
        <v>Tata Bye Bye</v>
      </c>
    </row>
    <row r="6" spans="1:4" x14ac:dyDescent="0.25">
      <c r="A6" t="s">
        <v>7</v>
      </c>
      <c r="B6">
        <v>80</v>
      </c>
      <c r="C6" t="s">
        <v>23</v>
      </c>
      <c r="D6" t="str">
        <f t="shared" si="0"/>
        <v>Eligible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281C-6431-408D-BCB3-59DACBAD87C3}">
  <dimension ref="A6:D10"/>
  <sheetViews>
    <sheetView workbookViewId="0">
      <selection activeCell="D6" sqref="D6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2.28515625" bestFit="1" customWidth="1"/>
    <col min="4" max="4" width="8.7109375" bestFit="1" customWidth="1"/>
  </cols>
  <sheetData>
    <row r="6" spans="1:4" x14ac:dyDescent="0.25">
      <c r="A6" t="s">
        <v>25</v>
      </c>
      <c r="B6" t="s">
        <v>26</v>
      </c>
      <c r="C6" t="s">
        <v>27</v>
      </c>
      <c r="D6" t="s">
        <v>28</v>
      </c>
    </row>
    <row r="7" spans="1:4" x14ac:dyDescent="0.25">
      <c r="A7" t="s">
        <v>29</v>
      </c>
      <c r="B7">
        <v>9000</v>
      </c>
      <c r="C7" t="s">
        <v>24</v>
      </c>
      <c r="D7" t="str">
        <f>+IF(OR(B7&gt;=10000,C7="Yes"),"Discount","No Discount")</f>
        <v>No Discount</v>
      </c>
    </row>
    <row r="8" spans="1:4" x14ac:dyDescent="0.25">
      <c r="A8" t="s">
        <v>30</v>
      </c>
      <c r="B8">
        <v>12000</v>
      </c>
      <c r="C8" t="s">
        <v>24</v>
      </c>
      <c r="D8" t="str">
        <f t="shared" ref="D8:D10" si="0">+IF(OR(B8&gt;=10000,C8="Yes"),"Discount","No Discount")</f>
        <v>Discount</v>
      </c>
    </row>
    <row r="9" spans="1:4" x14ac:dyDescent="0.25">
      <c r="A9" t="s">
        <v>6</v>
      </c>
      <c r="B9">
        <v>4000</v>
      </c>
      <c r="C9" t="s">
        <v>23</v>
      </c>
      <c r="D9" t="str">
        <f t="shared" si="0"/>
        <v>Discount</v>
      </c>
    </row>
    <row r="10" spans="1:4" x14ac:dyDescent="0.25">
      <c r="A10" t="s">
        <v>31</v>
      </c>
      <c r="B10">
        <v>3000</v>
      </c>
      <c r="C10" t="s">
        <v>24</v>
      </c>
      <c r="D10" t="str">
        <f t="shared" si="0"/>
        <v>No Discount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AF6-AC20-4B11-8220-65F45B04DA3D}">
  <dimension ref="A5:D9"/>
  <sheetViews>
    <sheetView workbookViewId="0">
      <selection activeCell="A4" sqref="A4"/>
    </sheetView>
  </sheetViews>
  <sheetFormatPr defaultRowHeight="15" x14ac:dyDescent="0.25"/>
  <cols>
    <col min="1" max="1" width="9.42578125" bestFit="1" customWidth="1"/>
    <col min="2" max="2" width="6.28515625" bestFit="1" customWidth="1"/>
    <col min="3" max="3" width="10.5703125" bestFit="1" customWidth="1"/>
    <col min="4" max="4" width="11" bestFit="1" customWidth="1"/>
  </cols>
  <sheetData>
    <row r="5" spans="1:4" x14ac:dyDescent="0.25">
      <c r="A5" t="s">
        <v>32</v>
      </c>
      <c r="B5" t="s">
        <v>10</v>
      </c>
      <c r="C5" t="s">
        <v>33</v>
      </c>
      <c r="D5" t="s">
        <v>34</v>
      </c>
    </row>
    <row r="6" spans="1:4" x14ac:dyDescent="0.25">
      <c r="A6" t="s">
        <v>12</v>
      </c>
      <c r="B6">
        <v>35000</v>
      </c>
      <c r="C6">
        <v>720</v>
      </c>
      <c r="D6" t="str">
        <f>+IF(OR(B6&gt;=40000,C6&gt;=700),"Approved","Rejected")</f>
        <v>Approved</v>
      </c>
    </row>
    <row r="7" spans="1:4" x14ac:dyDescent="0.25">
      <c r="A7" t="s">
        <v>13</v>
      </c>
      <c r="B7">
        <v>25000</v>
      </c>
      <c r="C7">
        <v>680</v>
      </c>
      <c r="D7" t="str">
        <f t="shared" ref="D7:D9" si="0">+IF(OR(B7&gt;=40000,C7&gt;=700),"Approved","Rejected")</f>
        <v>Rejected</v>
      </c>
    </row>
    <row r="8" spans="1:4" x14ac:dyDescent="0.25">
      <c r="A8" t="s">
        <v>14</v>
      </c>
      <c r="B8">
        <v>50000</v>
      </c>
      <c r="C8">
        <v>650</v>
      </c>
      <c r="D8" t="str">
        <f t="shared" si="0"/>
        <v>Approved</v>
      </c>
    </row>
    <row r="9" spans="1:4" x14ac:dyDescent="0.25">
      <c r="A9" t="s">
        <v>15</v>
      </c>
      <c r="B9">
        <v>20000</v>
      </c>
      <c r="C9">
        <v>600</v>
      </c>
      <c r="D9" t="str">
        <f t="shared" si="0"/>
        <v>Rejected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780F-5F26-4558-95AB-EF3798F3750D}">
  <dimension ref="A3:C7"/>
  <sheetViews>
    <sheetView workbookViewId="0">
      <selection activeCell="C5" sqref="C5"/>
    </sheetView>
  </sheetViews>
  <sheetFormatPr defaultRowHeight="15" x14ac:dyDescent="0.25"/>
  <cols>
    <col min="1" max="1" width="6.7109375" bestFit="1" customWidth="1"/>
    <col min="2" max="3" width="7.85546875" bestFit="1" customWidth="1"/>
  </cols>
  <sheetData>
    <row r="3" spans="1:3" x14ac:dyDescent="0.25">
      <c r="A3" t="s">
        <v>17</v>
      </c>
      <c r="B3" t="s">
        <v>35</v>
      </c>
      <c r="C3" t="s">
        <v>36</v>
      </c>
    </row>
    <row r="4" spans="1:3" x14ac:dyDescent="0.25">
      <c r="A4" t="s">
        <v>4</v>
      </c>
      <c r="B4" t="b">
        <v>1</v>
      </c>
      <c r="C4" t="str">
        <f>+IF(NOT(B4),"Absent","Present")</f>
        <v>Present</v>
      </c>
    </row>
    <row r="5" spans="1:3" x14ac:dyDescent="0.25">
      <c r="A5" t="s">
        <v>5</v>
      </c>
      <c r="B5" t="b">
        <v>0</v>
      </c>
      <c r="C5" t="str">
        <f t="shared" ref="C5:C7" si="0">+IF(NOT(B5),"Absent","Present")</f>
        <v>Absent</v>
      </c>
    </row>
    <row r="6" spans="1:3" x14ac:dyDescent="0.25">
      <c r="A6" t="s">
        <v>6</v>
      </c>
      <c r="B6" t="b">
        <v>1</v>
      </c>
      <c r="C6" t="str">
        <f t="shared" si="0"/>
        <v>Present</v>
      </c>
    </row>
    <row r="7" spans="1:3" x14ac:dyDescent="0.25">
      <c r="A7" t="s">
        <v>7</v>
      </c>
      <c r="B7" t="b">
        <v>0</v>
      </c>
      <c r="C7" t="str">
        <f t="shared" si="0"/>
        <v>Absent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5ADC-A10C-4D5E-BFD1-84B509F58AFF}">
  <dimension ref="A3:C7"/>
  <sheetViews>
    <sheetView workbookViewId="0"/>
  </sheetViews>
  <sheetFormatPr defaultRowHeight="15" x14ac:dyDescent="0.25"/>
  <cols>
    <col min="1" max="2" width="9.7109375" bestFit="1" customWidth="1"/>
    <col min="3" max="3" width="7" bestFit="1" customWidth="1"/>
  </cols>
  <sheetData>
    <row r="3" spans="1:3" x14ac:dyDescent="0.25">
      <c r="A3" t="s">
        <v>37</v>
      </c>
      <c r="B3" t="s">
        <v>38</v>
      </c>
      <c r="C3" t="s">
        <v>3</v>
      </c>
    </row>
    <row r="4" spans="1:3" x14ac:dyDescent="0.25">
      <c r="A4">
        <v>10</v>
      </c>
      <c r="B4">
        <v>2</v>
      </c>
      <c r="C4">
        <f>+IFERROR(A4/B4,"Invalid")</f>
        <v>5</v>
      </c>
    </row>
    <row r="5" spans="1:3" x14ac:dyDescent="0.25">
      <c r="A5">
        <v>15</v>
      </c>
      <c r="B5">
        <v>0</v>
      </c>
      <c r="C5" t="str">
        <f t="shared" ref="C5:C7" si="0">+IFERROR(A5/B5,"Invalid")</f>
        <v>Invalid</v>
      </c>
    </row>
    <row r="6" spans="1:3" x14ac:dyDescent="0.25">
      <c r="A6">
        <v>20</v>
      </c>
      <c r="B6">
        <v>5</v>
      </c>
      <c r="C6">
        <f t="shared" si="0"/>
        <v>4</v>
      </c>
    </row>
    <row r="7" spans="1:3" x14ac:dyDescent="0.25">
      <c r="A7">
        <v>8</v>
      </c>
      <c r="B7">
        <v>0</v>
      </c>
      <c r="C7" t="str">
        <f t="shared" si="0"/>
        <v>Invalid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D87C-C2DB-442D-AC7E-5A2CBA78A542}">
  <dimension ref="A4:D8"/>
  <sheetViews>
    <sheetView tabSelected="1" workbookViewId="0">
      <selection activeCell="A4" sqref="A4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13.42578125" bestFit="1" customWidth="1"/>
    <col min="4" max="4" width="18.7109375" bestFit="1" customWidth="1"/>
  </cols>
  <sheetData>
    <row r="4" spans="1:4" x14ac:dyDescent="0.25">
      <c r="A4" t="s">
        <v>9</v>
      </c>
      <c r="B4" t="s">
        <v>39</v>
      </c>
      <c r="C4" t="s">
        <v>21</v>
      </c>
      <c r="D4" t="s">
        <v>40</v>
      </c>
    </row>
    <row r="5" spans="1:4" x14ac:dyDescent="0.25">
      <c r="A5" t="s">
        <v>41</v>
      </c>
      <c r="B5">
        <v>45</v>
      </c>
      <c r="C5">
        <v>92</v>
      </c>
      <c r="D5" t="str">
        <f>+IF(AND(B5&gt;=90,C5&gt;=40),"Excellent",IF(C5&gt;=80,"Good","Need Improvement"))</f>
        <v>Good</v>
      </c>
    </row>
    <row r="6" spans="1:4" x14ac:dyDescent="0.25">
      <c r="A6" t="s">
        <v>42</v>
      </c>
      <c r="B6">
        <v>38</v>
      </c>
      <c r="C6">
        <v>85</v>
      </c>
      <c r="D6" t="str">
        <f t="shared" ref="D6:D8" si="0">+IF(AND(B6&gt;=90,C6&gt;=40),"Excellent",IF(C6&gt;=80,"Good","Need Improvement"))</f>
        <v>Good</v>
      </c>
    </row>
    <row r="7" spans="1:4" x14ac:dyDescent="0.25">
      <c r="A7" t="s">
        <v>43</v>
      </c>
      <c r="B7">
        <v>50</v>
      </c>
      <c r="C7">
        <v>95</v>
      </c>
      <c r="D7" t="str">
        <f t="shared" si="0"/>
        <v>Good</v>
      </c>
    </row>
    <row r="8" spans="1:4" x14ac:dyDescent="0.25">
      <c r="A8" t="s">
        <v>44</v>
      </c>
      <c r="B8">
        <v>30</v>
      </c>
      <c r="C8">
        <v>70</v>
      </c>
      <c r="D8" t="str">
        <f t="shared" si="0"/>
        <v>Need Improvement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2026-01-25T05:47:36Z</dcterms:created>
  <dcterms:modified xsi:type="dcterms:W3CDTF">2026-01-25T06:19:35Z</dcterms:modified>
</cp:coreProperties>
</file>